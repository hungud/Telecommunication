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AS7" i="1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C3"/>
</calcChain>
</file>

<file path=xl/sharedStrings.xml><?xml version="1.0" encoding="utf-8"?>
<sst xmlns="http://schemas.openxmlformats.org/spreadsheetml/2006/main" count="88" uniqueCount="46">
  <si>
    <t>Журнал регистрации документов</t>
  </si>
  <si>
    <t>№</t>
  </si>
  <si>
    <t>№ контракта</t>
  </si>
  <si>
    <t>Тип документа</t>
  </si>
  <si>
    <t>Дата документа</t>
  </si>
  <si>
    <t>Фамилия</t>
  </si>
  <si>
    <t>Имя</t>
  </si>
  <si>
    <t>Отчество</t>
  </si>
  <si>
    <t>Д.Р.</t>
  </si>
  <si>
    <t>Филиал</t>
  </si>
  <si>
    <t>Оператор</t>
  </si>
  <si>
    <t>VIP</t>
  </si>
  <si>
    <t>Тариф</t>
  </si>
  <si>
    <t>№ телефона федеральн</t>
  </si>
  <si>
    <t>№ телефона городской</t>
  </si>
  <si>
    <t>Внесенная сумма</t>
  </si>
  <si>
    <t>Зарегистрировал</t>
  </si>
  <si>
    <t>Тип номера</t>
  </si>
  <si>
    <t>SIM карта</t>
  </si>
  <si>
    <t>Лимит отключения</t>
  </si>
  <si>
    <t>Тип тел номера</t>
  </si>
  <si>
    <t>Код тарифа</t>
  </si>
  <si>
    <t>Тариф действующий</t>
  </si>
  <si>
    <t>Стоимость подключения</t>
  </si>
  <si>
    <t>Авансовый платеж</t>
  </si>
  <si>
    <t>Абонентская плата</t>
  </si>
  <si>
    <t>Абонентская плата по тарифу (заблок)</t>
  </si>
  <si>
    <t>Серия паспорта</t>
  </si>
  <si>
    <t>Номер паспорта</t>
  </si>
  <si>
    <t>Когда выдан паспорт</t>
  </si>
  <si>
    <t>Кем выдан паспорт</t>
  </si>
  <si>
    <t>Гражданство</t>
  </si>
  <si>
    <t>Страна прописки</t>
  </si>
  <si>
    <t>Регион прописки</t>
  </si>
  <si>
    <t>Город прописки</t>
  </si>
  <si>
    <t>Улица прописки</t>
  </si>
  <si>
    <t>Дом прописки</t>
  </si>
  <si>
    <t>Корпус</t>
  </si>
  <si>
    <t>Квартира</t>
  </si>
  <si>
    <t>Контактная информация</t>
  </si>
  <si>
    <t>Кодовое слово</t>
  </si>
  <si>
    <t>E-mail</t>
  </si>
  <si>
    <t>стартовый баланс</t>
  </si>
  <si>
    <t>Стоим золотого номера</t>
  </si>
  <si>
    <t>Причина расторжения договора</t>
  </si>
  <si>
    <t>Улика прописки</t>
  </si>
</sst>
</file>

<file path=xl/styles.xml><?xml version="1.0" encoding="utf-8"?>
<styleSheet xmlns="http://schemas.openxmlformats.org/spreadsheetml/2006/main">
  <numFmts count="1">
    <numFmt numFmtId="164" formatCode="dd/mm/yyyy;@"/>
  </numFmts>
  <fonts count="4">
    <font>
      <sz val="11"/>
      <color theme="1"/>
      <name val="Calibri"/>
      <family val="2"/>
      <scheme val="minor"/>
    </font>
    <font>
      <b/>
      <sz val="16"/>
      <name val="Arial Cyr"/>
      <charset val="204"/>
    </font>
    <font>
      <sz val="12"/>
      <name val="Arial Cyr"/>
      <charset val="204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S7"/>
  <sheetViews>
    <sheetView tabSelected="1" workbookViewId="0">
      <selection activeCell="J13" sqref="J13"/>
    </sheetView>
  </sheetViews>
  <sheetFormatPr defaultRowHeight="15"/>
  <cols>
    <col min="1" max="1" width="1.5703125" customWidth="1"/>
  </cols>
  <sheetData>
    <row r="1" spans="1:45" ht="20.25">
      <c r="C1" s="1" t="s">
        <v>0</v>
      </c>
      <c r="E1" s="2"/>
      <c r="I1" s="3"/>
    </row>
    <row r="2" spans="1:45" ht="6.75" customHeight="1">
      <c r="E2" s="2"/>
      <c r="I2" s="3"/>
    </row>
    <row r="3" spans="1:45">
      <c r="C3" s="4" t="e">
        <f>XLRParams_Filter</f>
        <v>#NAME?</v>
      </c>
      <c r="E3" s="2"/>
      <c r="I3" s="3"/>
    </row>
    <row r="4" spans="1:45" ht="8.25" customHeight="1">
      <c r="E4" s="2"/>
      <c r="I4" s="3"/>
    </row>
    <row r="5" spans="1:45" s="9" customFormat="1" ht="30" customHeight="1">
      <c r="A5" s="5"/>
      <c r="B5" s="6" t="s">
        <v>1</v>
      </c>
      <c r="C5" s="6" t="s">
        <v>2</v>
      </c>
      <c r="D5" s="6" t="s">
        <v>3</v>
      </c>
      <c r="E5" s="7" t="s">
        <v>4</v>
      </c>
      <c r="F5" s="6" t="s">
        <v>5</v>
      </c>
      <c r="G5" s="6" t="s">
        <v>6</v>
      </c>
      <c r="H5" s="6" t="s">
        <v>7</v>
      </c>
      <c r="I5" s="8" t="s">
        <v>8</v>
      </c>
      <c r="J5" s="6" t="s">
        <v>9</v>
      </c>
      <c r="K5" s="6" t="s">
        <v>10</v>
      </c>
      <c r="L5" s="6" t="s">
        <v>11</v>
      </c>
      <c r="M5" s="6" t="s">
        <v>12</v>
      </c>
      <c r="N5" s="6" t="s">
        <v>13</v>
      </c>
      <c r="O5" s="6" t="s">
        <v>14</v>
      </c>
      <c r="P5" s="6" t="s">
        <v>15</v>
      </c>
      <c r="Q5" s="6" t="s">
        <v>16</v>
      </c>
      <c r="R5" s="6" t="s">
        <v>17</v>
      </c>
      <c r="S5" s="6" t="s">
        <v>18</v>
      </c>
      <c r="T5" s="6" t="s">
        <v>19</v>
      </c>
      <c r="U5" s="6" t="s">
        <v>20</v>
      </c>
      <c r="V5" s="6" t="s">
        <v>21</v>
      </c>
      <c r="W5" s="6" t="s">
        <v>22</v>
      </c>
      <c r="X5" s="6" t="s">
        <v>23</v>
      </c>
      <c r="Y5" s="6" t="s">
        <v>24</v>
      </c>
      <c r="Z5" s="6" t="s">
        <v>25</v>
      </c>
      <c r="AA5" s="6" t="s">
        <v>26</v>
      </c>
      <c r="AB5" s="6" t="s">
        <v>27</v>
      </c>
      <c r="AC5" s="6" t="s">
        <v>28</v>
      </c>
      <c r="AD5" s="6" t="s">
        <v>29</v>
      </c>
      <c r="AE5" s="6" t="s">
        <v>30</v>
      </c>
      <c r="AF5" s="6" t="s">
        <v>31</v>
      </c>
      <c r="AG5" s="6" t="s">
        <v>32</v>
      </c>
      <c r="AH5" s="6" t="s">
        <v>33</v>
      </c>
      <c r="AI5" s="6" t="s">
        <v>34</v>
      </c>
      <c r="AJ5" s="6" t="s">
        <v>35</v>
      </c>
      <c r="AK5" s="6" t="s">
        <v>36</v>
      </c>
      <c r="AL5" s="6" t="s">
        <v>37</v>
      </c>
      <c r="AM5" s="6" t="s">
        <v>38</v>
      </c>
      <c r="AN5" s="6" t="s">
        <v>39</v>
      </c>
      <c r="AO5" s="6" t="s">
        <v>40</v>
      </c>
      <c r="AP5" s="6" t="s">
        <v>41</v>
      </c>
      <c r="AQ5" s="6" t="s">
        <v>42</v>
      </c>
      <c r="AR5" s="6" t="s">
        <v>43</v>
      </c>
      <c r="AS5" s="6" t="s">
        <v>44</v>
      </c>
    </row>
    <row r="6" spans="1:45" s="9" customFormat="1" ht="76.5" hidden="1">
      <c r="A6" s="5"/>
      <c r="B6" s="6"/>
      <c r="C6" s="6" t="s">
        <v>2</v>
      </c>
      <c r="D6" s="6" t="s">
        <v>3</v>
      </c>
      <c r="E6" s="7" t="s">
        <v>4</v>
      </c>
      <c r="F6" s="6" t="s">
        <v>5</v>
      </c>
      <c r="G6" s="6" t="s">
        <v>6</v>
      </c>
      <c r="H6" s="6" t="s">
        <v>7</v>
      </c>
      <c r="I6" s="8" t="s">
        <v>8</v>
      </c>
      <c r="J6" s="6" t="s">
        <v>9</v>
      </c>
      <c r="K6" s="6" t="s">
        <v>10</v>
      </c>
      <c r="L6" s="6" t="s">
        <v>11</v>
      </c>
      <c r="M6" s="6" t="s">
        <v>12</v>
      </c>
      <c r="N6" s="6" t="s">
        <v>13</v>
      </c>
      <c r="O6" s="6" t="s">
        <v>14</v>
      </c>
      <c r="P6" s="6" t="s">
        <v>15</v>
      </c>
      <c r="Q6" s="6" t="s">
        <v>16</v>
      </c>
      <c r="R6" s="6" t="s">
        <v>17</v>
      </c>
      <c r="S6" s="6" t="s">
        <v>18</v>
      </c>
      <c r="T6" s="6" t="s">
        <v>19</v>
      </c>
      <c r="U6" s="6" t="s">
        <v>20</v>
      </c>
      <c r="V6" s="6" t="s">
        <v>21</v>
      </c>
      <c r="W6" s="6" t="s">
        <v>22</v>
      </c>
      <c r="X6" s="6" t="s">
        <v>23</v>
      </c>
      <c r="Y6" s="6" t="s">
        <v>24</v>
      </c>
      <c r="Z6" s="6" t="s">
        <v>25</v>
      </c>
      <c r="AA6" s="6" t="s">
        <v>26</v>
      </c>
      <c r="AB6" s="6" t="s">
        <v>27</v>
      </c>
      <c r="AC6" s="6" t="s">
        <v>28</v>
      </c>
      <c r="AD6" s="6" t="s">
        <v>29</v>
      </c>
      <c r="AE6" s="6" t="s">
        <v>30</v>
      </c>
      <c r="AF6" s="6" t="s">
        <v>31</v>
      </c>
      <c r="AG6" s="6" t="s">
        <v>32</v>
      </c>
      <c r="AH6" s="6" t="s">
        <v>33</v>
      </c>
      <c r="AI6" s="6" t="s">
        <v>34</v>
      </c>
      <c r="AJ6" s="6" t="s">
        <v>45</v>
      </c>
      <c r="AK6" s="6" t="s">
        <v>36</v>
      </c>
      <c r="AL6" s="6" t="s">
        <v>37</v>
      </c>
      <c r="AM6" s="6" t="s">
        <v>38</v>
      </c>
      <c r="AN6" s="6" t="s">
        <v>39</v>
      </c>
      <c r="AO6" s="6" t="s">
        <v>40</v>
      </c>
      <c r="AP6" s="6" t="s">
        <v>41</v>
      </c>
      <c r="AQ6" s="6" t="s">
        <v>42</v>
      </c>
      <c r="AR6" s="6" t="s">
        <v>43</v>
      </c>
      <c r="AS6" s="6" t="s">
        <v>44</v>
      </c>
    </row>
    <row r="7" spans="1:45" ht="12.75">
      <c r="A7" s="10"/>
      <c r="B7" s="10">
        <f>B6+1</f>
        <v>1</v>
      </c>
      <c r="C7" s="10" t="e">
        <f>qMain_CONTRACT_NUM</f>
        <v>#NAME?</v>
      </c>
      <c r="D7" s="11" t="e">
        <f>qMain_DOCUM_TYPE_NAME</f>
        <v>#NAME?</v>
      </c>
      <c r="E7" s="12" t="e">
        <f>qMain_DOCUM_DATE</f>
        <v>#NAME?</v>
      </c>
      <c r="F7" s="11" t="e">
        <f>qMain_SURNAME</f>
        <v>#NAME?</v>
      </c>
      <c r="G7" s="11" t="e">
        <f>qMain_NAME</f>
        <v>#NAME?</v>
      </c>
      <c r="H7" s="11" t="e">
        <f>qMain_PATRONYMIC</f>
        <v>#NAME?</v>
      </c>
      <c r="I7" s="13" t="e">
        <f>qMain_BDATE</f>
        <v>#NAME?</v>
      </c>
      <c r="J7" s="10" t="e">
        <f>qMain_FILIAL_NAME</f>
        <v>#NAME?</v>
      </c>
      <c r="K7" s="10" t="e">
        <f>qMain_OPERATOR_NAME</f>
        <v>#NAME?</v>
      </c>
      <c r="L7" s="10" t="e">
        <f>qMain_IS_VIP_NAME</f>
        <v>#NAME?</v>
      </c>
      <c r="M7" s="10" t="e">
        <f>qMain_TARIFF_NAME</f>
        <v>#NAME?</v>
      </c>
      <c r="N7" s="10" t="e">
        <f>qMain_PHONE_NUMBER_FEDERAL</f>
        <v>#NAME?</v>
      </c>
      <c r="O7" s="10" t="e">
        <f>qMain_PHONE_NUMBER_CITY</f>
        <v>#NAME?</v>
      </c>
      <c r="P7" s="10" t="e">
        <f>qMain_SUM_GET</f>
        <v>#NAME?</v>
      </c>
      <c r="Q7" s="10" t="e">
        <f>qMain_USER_NAME</f>
        <v>#NAME?</v>
      </c>
      <c r="R7" s="10" t="e">
        <f>qMain_PHONE_NUMBER_TYPE</f>
        <v>#NAME?</v>
      </c>
      <c r="S7" s="10" t="e">
        <f>qMain_SIM_NUMBER</f>
        <v>#NAME?</v>
      </c>
      <c r="T7" s="10" t="e">
        <f>qMain_DISCONNECT_LIMIT</f>
        <v>#NAME?</v>
      </c>
      <c r="U7" s="10" t="e">
        <f>qMain_PHONE_NUMBER_TYPE</f>
        <v>#NAME?</v>
      </c>
      <c r="V7" s="10" t="e">
        <f>qMain_TARIFF_CODE</f>
        <v>#NAME?</v>
      </c>
      <c r="W7" s="10" t="e">
        <f>qMain_IS_ACTIVE</f>
        <v>#NAME?</v>
      </c>
      <c r="X7" s="10" t="e">
        <f>qMain_CONNECT_PRICE</f>
        <v>#NAME?</v>
      </c>
      <c r="Y7" s="10" t="e">
        <f>qMain_ADVANCE_PAYMENT</f>
        <v>#NAME?</v>
      </c>
      <c r="Z7" s="10" t="e">
        <f>qMain_DAYLY_PAYMENT</f>
        <v>#NAME?</v>
      </c>
      <c r="AA7" s="10" t="e">
        <f>qMain_DAYLY_PAYMENT_LOCKED</f>
        <v>#NAME?</v>
      </c>
      <c r="AB7" s="10" t="e">
        <f>qMain_PASSPORT_SER</f>
        <v>#NAME?</v>
      </c>
      <c r="AC7" s="10" t="e">
        <f>qMain_PASSPORT_NUM</f>
        <v>#NAME?</v>
      </c>
      <c r="AD7" s="13" t="e">
        <f>qMain_PASSPORT_DATE</f>
        <v>#NAME?</v>
      </c>
      <c r="AE7" s="10" t="e">
        <f>qMain_PASSPORT_GET</f>
        <v>#NAME?</v>
      </c>
      <c r="AF7" s="10" t="e">
        <f>qMain_COUNTRY_CITIZEN</f>
        <v>#NAME?</v>
      </c>
      <c r="AG7" s="10" t="e">
        <f>qMain_COUNTRY_NAME</f>
        <v>#NAME?</v>
      </c>
      <c r="AH7" s="10" t="e">
        <f>qMain_REGION_NAME</f>
        <v>#NAME?</v>
      </c>
      <c r="AI7" s="10" t="e">
        <f>qMain_CITY_NAME</f>
        <v>#NAME?</v>
      </c>
      <c r="AJ7" s="10" t="e">
        <f>qMain_STREET_NAME</f>
        <v>#NAME?</v>
      </c>
      <c r="AK7" s="10" t="e">
        <f>qMain_HOUSE</f>
        <v>#NAME?</v>
      </c>
      <c r="AL7" s="10" t="e">
        <f>qMain_KORPUS</f>
        <v>#NAME?</v>
      </c>
      <c r="AM7" s="10" t="e">
        <f>qMain_APARTMENT</f>
        <v>#NAME?</v>
      </c>
      <c r="AN7" s="10" t="e">
        <f>qMain_CONTACT_INFO</f>
        <v>#NAME?</v>
      </c>
      <c r="AO7" s="10" t="e">
        <f>qMain_CODE_WORD</f>
        <v>#NAME?</v>
      </c>
      <c r="AP7" s="10" t="e">
        <f>qMain_EMAIL</f>
        <v>#NAME?</v>
      </c>
      <c r="AQ7" s="10" t="e">
        <f>qMain_START_BALANCE</f>
        <v>#NAME?</v>
      </c>
      <c r="AR7" s="10" t="e">
        <f>qMain_GOLD_NUMBER_SUM</f>
        <v>#NAME?</v>
      </c>
      <c r="AS7" s="10" t="e">
        <f>qMain_CONTRACT_CANCEL_TYPE_NAME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2013-12-06T12:37:09Z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JornalAll1</vt:lpwstr>
  </property>
</Properties>
</file>